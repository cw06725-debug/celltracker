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ff01144a6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fba33847e0a4f05"/>
    <x:sheet xmlns:r="http://schemas.openxmlformats.org/officeDocument/2006/relationships" name="Test Cases" sheetId="2" r:id="R87079f8cd58d4058"/>
    <x:sheet xmlns:r="http://schemas.openxmlformats.org/officeDocument/2006/relationships" name="Test Results" sheetId="3" r:id="R9041e14ec5e94683"/>
    <x:sheet xmlns:r="http://schemas.openxmlformats.org/officeDocument/2006/relationships" name="DUT vs REF" sheetId="4" r:id="R5650534eaec6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34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2"/>
      </x:patternFill>
    </x:fill>
    <x:fill>
      <x:patternFill patternType="solid">
        <x:fgColor rgb="FFDCEAF1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0f364dc9449fc" /><Relationship Type="http://schemas.openxmlformats.org/officeDocument/2006/relationships/theme" Target="/xl/theme/theme1.xml" Id="R53e1db5dbfc246ad" /><Relationship Type="http://schemas.openxmlformats.org/officeDocument/2006/relationships/sharedStrings" Target="/xl/sharedStrings.xml" Id="R62637eb033c64849" /><Relationship Type="http://schemas.openxmlformats.org/officeDocument/2006/relationships/worksheet" Target="/xl/worksheets/sheet1.xml" Id="R1fba33847e0a4f05" /><Relationship Type="http://schemas.openxmlformats.org/officeDocument/2006/relationships/worksheet" Target="/xl/worksheets/sheet2.xml" Id="R87079f8cd58d4058" /><Relationship Type="http://schemas.openxmlformats.org/officeDocument/2006/relationships/worksheet" Target="/xl/worksheets/sheet3.xml" Id="R9041e14ec5e94683" /><Relationship Type="http://schemas.openxmlformats.org/officeDocument/2006/relationships/worksheet" Target="/xl/worksheets/sheet4.xml" Id="R5650534eaec6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34" customHeight="1">
      <x:c r="A1" s="5" t="str">
        <x:v>COMMUNICATION EXPERIENCE TEST CASE LIBRARY</x:v>
      </x:c>
      <x:c r="B1" s="5" t="str">
        <x:v>V1.0 / English / Draft</x:v>
      </x:c>
    </x:row>
    <x:row r="3" ht="38" customHeight="1">
      <x:c r="A3" s="20" t="str">
        <x:v>Purpose</x:v>
      </x:c>
      <x:c r="B3" s="12" t="str">
        <x:v>Reusable test case definitions and tabular execution results for field communication experience comparisons.</x:v>
      </x:c>
    </x:row>
    <x:row r="4" ht="38" customHeight="1">
      <x:c r="A4" s="20" t="str">
        <x:v>Test philosophy</x:v>
      </x:c>
      <x:c r="B4" s="12" t="str">
        <x:v>Compare DUT and REF under matched operator, actual RAT, location, application versions/settings and test content.</x:v>
      </x:c>
    </x:row>
    <x:row r="5" ht="38" customHeight="1">
      <x:c r="A5" s="20" t="str">
        <x:v>Execution mode</x:v>
      </x:c>
      <x:c r="B5" s="12" t="str">
        <x:v>Devices parallel within the same item; items serial within mobility; order selected on site.</x:v>
      </x:c>
    </x:row>
    <x:row r="6" ht="38" customHeight="1">
      <x:c r="A6" s="20" t="str">
        <x:v>Tool split</x:v>
      </x:c>
      <x:c r="B6" s="12" t="str">
        <x:v>MFT only for mobility Ping/RSRP and built-in Short Video Loading. Other tests use CellTracker assistance or subjective observation.</x:v>
      </x:c>
    </x:row>
    <x:row r="7" ht="38" customHeight="1">
      <x:c r="A7" s="20" t="str">
        <x:v>Defect rule</x:v>
      </x:c>
      <x:c r="B7" s="12" t="str">
        <x:v>Clear DUT disadvantage: submit Bug with evidence first; follow-up retest and root-cause investigation later.</x:v>
      </x:c>
    </x:row>
    <x:row r="8" ht="38" customHeight="1">
      <x:c r="A8" s="20" t="str">
        <x:v>Not official limits</x:v>
      </x:c>
      <x:c r="B8" s="12" t="str">
        <x:v>No invented absolute pass/fail time thresholds. Project owners may add approved thresholds separately.</x:v>
      </x:c>
    </x:row>
    <x:row r="9" ht="38" customHeight="1">
      <x:c r="A9" s="20" t="str">
        <x:v>Result entry</x:v>
      </x:c>
      <x:c r="B9" s="12" t="str">
        <x:v>Add one row per device, test item and test window on Test Results; enter actual measurements only.</x:v>
      </x:c>
    </x:row>
    <x:row r="10" ht="38" customHeight="1">
      <x:c r="A10" s="20" t="str">
        <x:v>DUT vs REF</x:v>
      </x:c>
      <x:c r="B10" s="12" t="str">
        <x:v>One row per pair and metric. Formulas calculate difference; assessment remains engineering judgment.</x:v>
      </x:c>
    </x:row>
    <x:row r="11" ht="38" customHeight="1">
      <x:c r="A11" s="20" t="str">
        <x:v>Archiving</x:v>
      </x:c>
      <x:c r="B11" s="12" t="str">
        <x:v>Store the dated scenario Excel summary alongside unmodified original MFT and CellTracker reports.</x:v>
      </x:c>
    </x:row>
    <x:row r="12" ht="38" customHeight="1">
      <x:c r="A12" s="20" t="str">
        <x:v>Basement exception</x:v>
      </x:c>
      <x:c r="B12" s="12" t="str">
        <x:v>If all devices have signal, run short, flexible Ping/data/call verification; do not apply MFT 20-minute Ping.</x:v>
      </x:c>
    </x:row>
    <x:row r="13" ht="38" customHeight="1">
      <x:c r="A13" s="20" t="str">
        <x:v>Result status</x:v>
      </x:c>
      <x:c r="B13" s="12" t="str">
        <x:v>Use PASS / WATCH / FAIL / INVALID. FAIL here denotes observed issue; Bug may remain under analysis.</x:v>
      </x:c>
    </x:row>
    <x:row r="14" ht="38" customHeight="1">
      <x:c r="A14" s="20" t="str">
        <x:v>Template status</x:v>
      </x:c>
      <x:c r="B14" s="12" t="str">
        <x:v>This workbook contains no fabricated test result values.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7" hidden="0" customWidth="1"/>
    <x:col min="4" max="4" width="23" hidden="0" customWidth="1"/>
    <x:col min="5" max="5" width="23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</x:cols>
  <x:sheetData>
    <x:row r="1" ht="34" customHeight="1">
      <x:c r="A1" s="7" t="str">
        <x:v>Test Case ID</x:v>
      </x:c>
      <x:c r="B1" s="7" t="str">
        <x:v>Category</x:v>
      </x:c>
      <x:c r="C1" s="7" t="str">
        <x:v>Test Item</x:v>
      </x:c>
      <x:c r="D1" s="7" t="str">
        <x:v>Applicable Scenario</x:v>
      </x:c>
      <x:c r="E1" s="7" t="str">
        <x:v>Tool / Method</x:v>
      </x:c>
      <x:c r="F1" s="7" t="str">
        <x:v>Preconditions</x:v>
      </x:c>
      <x:c r="G1" s="7" t="str">
        <x:v>Execution Steps</x:v>
      </x:c>
      <x:c r="H1" s="7" t="str">
        <x:v>Duration / Count</x:v>
      </x:c>
      <x:c r="I1" s="7" t="str">
        <x:v>Metrics to Record</x:v>
      </x:c>
      <x:c r="J1" s="7" t="str">
        <x:v>Evaluation Criteria</x:v>
      </x:c>
    </x:row>
    <x:row r="2" ht="78" customHeight="1">
      <x:c r="A2" s="12" t="str">
        <x:v>SIG-01</x:v>
      </x:c>
      <x:c r="B2" s="12" t="str">
        <x:v>Signal / Connectivity</x:v>
      </x:c>
      <x:c r="C2" s="12" t="str">
        <x:v>MFT Ping &amp; RSRP</x:v>
      </x:c>
      <x:c r="D2" s="12" t="str">
        <x:v>Mobility</x:v>
      </x:c>
      <x:c r="E2" s="12" t="str">
        <x:v>MFT</x:v>
      </x:c>
      <x:c r="F2" s="12" t="str">
        <x:v>Same operator/SIM class; comparable RAT; device authorized</x:v>
      </x:c>
      <x:c r="G2" s="12" t="str">
        <x:v>Select Ping target Google; set 1s interval; run for 20 min while driving; export report.</x:v>
      </x:c>
      <x:c r="H2" s="12" t="str">
        <x:v>20 min / 1s interval</x:v>
      </x:c>
      <x:c r="I2" s="12" t="str">
        <x:v>RSRP (dBm); Mean ping latency (ms); Ping success rate (%)</x:v>
      </x:c>
      <x:c r="J2" s="12" t="str">
        <x:v>Compare DUT with REF under comparable RAT/cell/band and route. Significant disadvantage or failure -&gt; log Bug.</x:v>
      </x:c>
    </x:row>
    <x:row r="3" ht="78" customHeight="1">
      <x:c r="A3" s="12" t="str">
        <x:v>DL-01</x:v>
      </x:c>
      <x:c r="B3" s="12" t="str">
        <x:v>Data Downlink</x:v>
      </x:c>
      <x:c r="C3" s="12" t="str">
        <x:v>MFT Short Video Loading</x:v>
      </x:c>
      <x:c r="D3" s="12" t="str">
        <x:v>Mobility</x:v>
      </x:c>
      <x:c r="E3" s="12" t="str">
        <x:v>MFT</x:v>
      </x:c>
      <x:c r="F3" s="12" t="str">
        <x:v>Same operator, RAT configuration and MFT case</x:v>
      </x:c>
      <x:c r="G3" s="12" t="str">
        <x:v>Run built-in Short Video Loading 240 attempts with 5s interval; export result.</x:v>
      </x:c>
      <x:c r="H3" s="12" t="str">
        <x:v>240 attempts / 5s interval</x:v>
      </x:c>
      <x:c r="I3" s="12" t="str">
        <x:v>Mean load time (s); Load success rate (%); Failed attempts</x:v>
      </x:c>
      <x:c r="J3" s="12" t="str">
        <x:v>Compare mean load time and failure count/rate with REF; flag clear sustained disadvantage.</x:v>
      </x:c>
    </x:row>
    <x:row r="4" ht="78" customHeight="1">
      <x:c r="A4" s="12" t="str">
        <x:v>UL-01</x:v>
      </x:c>
      <x:c r="B4" s="12" t="str">
        <x:v>Data Uplink</x:v>
      </x:c>
      <x:c r="C4" s="12" t="str">
        <x:v>TikTok Video Upload</x:v>
      </x:c>
      <x:c r="D4" s="12" t="str">
        <x:v>Long Stay / project-defined</x:v>
      </x:c>
      <x:c r="E4" s="12" t="str">
        <x:v>CellTracker assisted</x:v>
      </x:c>
      <x:c r="F4" s="12" t="str">
        <x:v>Identical app versions/settings and same source video</x:v>
      </x:c>
      <x:c r="G4" s="12" t="str">
        <x:v>Upload five copies of the identical video on each device; record each attempt and summarize.</x:v>
      </x:c>
      <x:c r="H4" s="12" t="str">
        <x:v>5 uploads</x:v>
      </x:c>
      <x:c r="I4" s="12" t="str">
        <x:v>Mean upload time (s); Max upload time (s); Failed uploads</x:v>
      </x:c>
      <x:c r="J4" s="12" t="str">
        <x:v>Compare per-attempt outcomes and mean/max time; distinguish one-off outliers.</x:v>
      </x:c>
    </x:row>
    <x:row r="5" ht="78" customHeight="1">
      <x:c r="A5" s="12" t="str">
        <x:v>DL-02</x:v>
      </x:c>
      <x:c r="B5" s="12" t="str">
        <x:v>Data Downlink</x:v>
      </x:c>
      <x:c r="C5" s="12" t="str">
        <x:v>TikTok Video Browsing</x:v>
      </x:c>
      <x:c r="D5" s="12" t="str">
        <x:v>High Load / Long Stay</x:v>
      </x:c>
      <x:c r="E5" s="12" t="str">
        <x:v>CellTracker assisted</x:v>
      </x:c>
      <x:c r="F5" s="12" t="str">
        <x:v>Same app versions/settings and comparable feed content where possible</x:v>
      </x:c>
      <x:c r="G5" s="12" t="str">
        <x:v>Browse short videos continuously; mark buffering events and duration.</x:v>
      </x:c>
      <x:c r="H5" s="12" t="str">
        <x:v>10 min</x:v>
      </x:c>
      <x:c r="I5" s="12" t="str">
        <x:v>Stall count; Total stall duration (s); Single stall duration (s)</x:v>
      </x:c>
      <x:c r="J5" s="12" t="str">
        <x:v>Flag DUT-specific recurrent or long stalls against REF.</x:v>
      </x:c>
    </x:row>
    <x:row r="6" ht="78" customHeight="1">
      <x:c r="A6" s="12" t="str">
        <x:v>DL-03</x:v>
      </x:c>
      <x:c r="B6" s="12" t="str">
        <x:v>Data Downlink</x:v>
      </x:c>
      <x:c r="C6" s="12" t="str">
        <x:v>YouTube Video Loading</x:v>
      </x:c>
      <x:c r="D6" s="12" t="str">
        <x:v>Mobility / Weak Coverage / project-defined</x:v>
      </x:c>
      <x:c r="E6" s="12" t="str">
        <x:v>CellTracker assisted</x:v>
      </x:c>
      <x:c r="F6" s="12" t="str">
        <x:v>Same YouTube creator/channel and set of 20 videos</x:v>
      </x:c>
      <x:c r="G6" s="12" t="str">
        <x:v>Open videos from same creator; collect loading events and average.</x:v>
      </x:c>
      <x:c r="H6" s="12" t="str">
        <x:v>20 videos (normal test); flexible in basement</x:v>
      </x:c>
      <x:c r="I6" s="12" t="str">
        <x:v>Mean load time (s); Load failures</x:v>
      </x:c>
      <x:c r="J6" s="12" t="str">
        <x:v>Clear longer loading time or failures on DUT relative to REF.</x:v>
      </x:c>
    </x:row>
    <x:row r="7" ht="78" customHeight="1">
      <x:c r="A7" s="12" t="str">
        <x:v>UL-02</x:v>
      </x:c>
      <x:c r="B7" s="12" t="str">
        <x:v>Data Uplink</x:v>
      </x:c>
      <x:c r="C7" s="12" t="str">
        <x:v>WhatsApp Image Sending</x:v>
      </x:c>
      <x:c r="D7" s="12" t="str">
        <x:v>All applicable scenes</x:v>
      </x:c>
      <x:c r="E7" s="12" t="str">
        <x:v>CellTracker assisted or subjective</x:v>
      </x:c>
      <x:c r="F7" s="12" t="str">
        <x:v>Same high-resolution image; same app settings</x:v>
      </x:c>
      <x:c r="G7" s="12" t="str">
        <x:v>Send the same high-resolution image repeatedly; log delay when measurable. If near-instant, record qualitative outcome.</x:v>
      </x:c>
      <x:c r="H7" s="12" t="str">
        <x:v>20 sends (normal test); flexible in basement</x:v>
      </x:c>
      <x:c r="I7" s="12" t="str">
        <x:v>Sending delay; Failed sends; Subjective result</x:v>
      </x:c>
      <x:c r="J7" s="12" t="str">
        <x:v>Clear delay/failures versus REF; subjective 'instant' result can be used when timing uninformative.</x:v>
      </x:c>
    </x:row>
    <x:row r="8" ht="78" customHeight="1">
      <x:c r="A8" s="12" t="str">
        <x:v>CALL-01</x:v>
      </x:c>
      <x:c r="B8" s="12" t="str">
        <x:v>Call Service</x:v>
      </x:c>
      <x:c r="C8" s="12" t="str">
        <x:v>VoLTE Call Setup &amp; Quality</x:v>
      </x:c>
      <x:c r="D8" s="12" t="str">
        <x:v>High Load / Long Stay / Mobility / Weak Coverage</x:v>
      </x:c>
      <x:c r="E8" s="12" t="str">
        <x:v>CellTracker assisted + human review</x:v>
      </x:c>
      <x:c r="F8" s="12" t="str">
        <x:v>Same operator, active VoLTE registration where applicable</x:v>
      </x:c>
      <x:c r="G8" s="12" t="str">
        <x:v>Place calls; record success/fail and assess audio clarity, noise, choppiness, one-way audio, no audio, drop.</x:v>
      </x:c>
      <x:c r="H8" s="12" t="str">
        <x:v>20 calls (normal test); flexible in basement</x:v>
      </x:c>
      <x:c r="I8" s="12" t="str">
        <x:v>Call setup success rate (%); Audio issues; Drops</x:v>
      </x:c>
      <x:c r="J8" s="12" t="str">
        <x:v>Raise Bug for DUT-specific failures or clear audio defects.</x:v>
      </x:c>
    </x:row>
    <x:row r="9" ht="78" customHeight="1">
      <x:c r="A9" s="12" t="str">
        <x:v>CALL-02</x:v>
      </x:c>
      <x:c r="B9" s="12" t="str">
        <x:v>Call Service</x:v>
      </x:c>
      <x:c r="C9" s="12" t="str">
        <x:v>WhatsApp Call Setup &amp; Quality</x:v>
      </x:c>
      <x:c r="D9" s="12" t="str">
        <x:v>High Load / Long Stay / Mobility / Weak Coverage</x:v>
      </x:c>
      <x:c r="E9" s="12" t="str">
        <x:v>CellTracker assisted + human review</x:v>
      </x:c>
      <x:c r="F9" s="12" t="str">
        <x:v>Same app versions/settings; mobile-data connection</x:v>
      </x:c>
      <x:c r="G9" s="12" t="str">
        <x:v>Place calls; record setup success and subjective quality.</x:v>
      </x:c>
      <x:c r="H9" s="12" t="str">
        <x:v>20 calls (normal test); flexible in basement</x:v>
      </x:c>
      <x:c r="I9" s="12" t="str">
        <x:v>Call setup success rate (%); Audio issues; Drops</x:v>
      </x:c>
      <x:c r="J9" s="12" t="str">
        <x:v>Flag clear DUT disadvantage; no MOS score required.</x:v>
      </x:c>
    </x:row>
    <x:row r="10" ht="78" customHeight="1">
      <x:c r="A10" s="12" t="str">
        <x:v>CALL-03</x:v>
      </x:c>
      <x:c r="B10" s="12" t="str">
        <x:v>Call Service</x:v>
      </x:c>
      <x:c r="C10" s="12" t="str">
        <x:v>VoLTE Long Duration Call</x:v>
      </x:c>
      <x:c r="D10" s="12" t="str">
        <x:v>Mobility</x:v>
      </x:c>
      <x:c r="E10" s="12" t="str">
        <x:v>Human review / CellTracker assisted</x:v>
      </x:c>
      <x:c r="F10" s="12" t="str">
        <x:v>VoLTE available; identical operator/network test conditions</x:v>
      </x:c>
      <x:c r="G10" s="12" t="str">
        <x:v>Maintain a single VoLTE call during driving; note failures and voice defects.</x:v>
      </x:c>
      <x:c r="H10" s="12" t="str">
        <x:v>1 call / 20 min</x:v>
      </x:c>
      <x:c r="I10" s="12" t="str">
        <x:v>Call continuity; Drops; Audio issues</x:v>
      </x:c>
      <x:c r="J10" s="12" t="str">
        <x:v>Any unexplained DUT-specific drop/major defect requires reporting.</x:v>
      </x:c>
    </x:row>
    <x:row r="11" ht="78" customHeight="1">
      <x:c r="A11" s="12" t="str">
        <x:v>COV-01</x:v>
      </x:c>
      <x:c r="B11" s="12" t="str">
        <x:v>Coverage / Recovery</x:v>
      </x:c>
      <x:c r="C11" s="12" t="str">
        <x:v>Weak Coverage Entry &amp; Recovery</x:v>
      </x:c>
      <x:c r="D11" s="12" t="str">
        <x:v>Weak Coverage</x:v>
      </x:c>
      <x:c r="E11" s="12" t="str">
        <x:v>Human review + CellTracker Ping</x:v>
      </x:c>
      <x:c r="F11" s="12" t="str">
        <x:v>Comparable start/end coverage; same route; all phones together</x:v>
      </x:c>
      <x:c r="G11" s="12" t="str">
        <x:v>Travel from normal coverage into basement, observe camping/RAT/loss, optionally run Ping, WhatsApp image, YouTube, VoLTE/WhatsApp calls only if all devices have signal, return to normal area and compare recovery.</x:v>
      </x:c>
      <x:c r="H11" s="12" t="str">
        <x:v>Route-based; flexible business checks</x:v>
      </x:c>
      <x:c r="I11" s="12" t="str">
        <x:v>Camping state; Network loss; Recovery behavior; Business availability</x:v>
      </x:c>
      <x:c r="J11" s="12" t="str">
        <x:v>Flag DUT loss/recovery materially worse than REF; log clear failures, follow-up retest.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34" hidden="0" customWidth="1"/>
    <x:col min="21" max="21" width="19" hidden="0" customWidth="1"/>
    <x:col min="22" max="22" width="19" hidden="0" customWidth="1"/>
    <x:col min="23" max="23" width="32" hidden="0" customWidth="1"/>
  </x:cols>
  <x:sheetData>
    <x:row r="1" ht="34" customHeight="1">
      <x:c r="A1" s="7" t="str">
        <x:v>Date</x:v>
      </x:c>
      <x:c r="B1" s="7" t="str">
        <x:v>Scenario</x:v>
      </x:c>
      <x:c r="C1" s="7" t="str">
        <x:v>Site / Route</x:v>
      </x:c>
      <x:c r="D1" s="7" t="str">
        <x:v>Operator</x:v>
      </x:c>
      <x:c r="E1" s="7" t="str">
        <x:v>Actual RAT</x:v>
      </x:c>
      <x:c r="F1" s="7" t="str">
        <x:v>Test Case ID</x:v>
      </x:c>
      <x:c r="G1" s="7" t="str">
        <x:v>Device</x:v>
      </x:c>
      <x:c r="H1" s="7" t="str">
        <x:v>Role (DUT/REF)</x:v>
      </x:c>
      <x:c r="I1" s="7" t="str">
        <x:v>Start Time</x:v>
      </x:c>
      <x:c r="J1" s="7" t="str">
        <x:v>End Time</x:v>
      </x:c>
      <x:c r="K1" s="7" t="str">
        <x:v>Attempts</x:v>
      </x:c>
      <x:c r="L1" s="7" t="str">
        <x:v>Successes</x:v>
      </x:c>
      <x:c r="M1" s="7" t="str">
        <x:v>Failures</x:v>
      </x:c>
      <x:c r="N1" s="7" t="str">
        <x:v>Mean Latency (ms)</x:v>
      </x:c>
      <x:c r="O1" s="7" t="str">
        <x:v>Mean Duration (s)</x:v>
      </x:c>
      <x:c r="P1" s="7" t="str">
        <x:v>Max Duration (s)</x:v>
      </x:c>
      <x:c r="Q1" s="7" t="str">
        <x:v>RSRP (dBm)</x:v>
      </x:c>
      <x:c r="R1" s="7" t="str">
        <x:v>Stall Count</x:v>
      </x:c>
      <x:c r="S1" s="7" t="str">
        <x:v>Total Stall (s)</x:v>
      </x:c>
      <x:c r="T1" s="7" t="str">
        <x:v>Audio / Experience Notes</x:v>
      </x:c>
      <x:c r="U1" s="7" t="str">
        <x:v>Result</x:v>
      </x:c>
      <x:c r="V1" s="7" t="str">
        <x:v>Bug ID</x:v>
      </x:c>
      <x:c r="W1" s="7" t="str">
        <x:v>Report File / Link</x:v>
      </x:c>
    </x:row>
    <x:row r="2" ht="28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 ht="2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 ht="2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</x:row>
    <x:row r="5" ht="28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</x:row>
    <x:row r="6" ht="2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</x:row>
    <x:row r="7" ht="2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</x:row>
    <x:row r="8" ht="2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</x:row>
    <x:row r="9" ht="2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</x:row>
    <x:row r="10" ht="2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</x:row>
    <x:row r="11" ht="2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</x:row>
    <x:row r="12" ht="2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</x:row>
    <x:row r="13" ht="2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</x:row>
    <x:row r="14" ht="2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</x:row>
    <x:row r="15" ht="2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</x:row>
    <x:row r="16" ht="2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</x:row>
    <x:row r="17" ht="2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</x:row>
    <x:row r="18" ht="2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</x:row>
    <x:row r="19" ht="2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</x:row>
    <x:row r="20" ht="2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</x:row>
    <x:row r="21" ht="2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</x:row>
    <x:row r="22" ht="2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</x:row>
    <x:row r="23" ht="2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</x:row>
    <x:row r="24" ht="2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</x:row>
    <x:row r="25" ht="2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</x:row>
    <x:row r="26" ht="2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</x:row>
    <x:row r="27" ht="2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</x:row>
    <x:row r="28" ht="2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</x:row>
    <x:row r="29" ht="2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</x:row>
    <x:row r="30" ht="2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</x:row>
    <x:row r="31" ht="2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</x:row>
    <x:row r="32" ht="2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</x:row>
    <x:row r="33" ht="2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</x:row>
    <x:row r="34" ht="2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</x:row>
    <x:row r="35" ht="2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</x:row>
    <x:row r="36" ht="2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</x:row>
    <x:row r="37" ht="2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</x:row>
    <x:row r="38" ht="2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</x:row>
    <x:row r="39" ht="2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</x:row>
    <x:row r="40" ht="2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</x:row>
    <x:row r="41" ht="2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</x:row>
    <x:row r="42" ht="2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</x:row>
    <x:row r="43" ht="2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</x:row>
    <x:row r="44" ht="2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</x:row>
    <x:row r="45" ht="2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</x:row>
    <x:row r="46" ht="2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</x:row>
    <x:row r="47" ht="2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</x:row>
    <x:row r="48" ht="2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</x:row>
    <x:row r="49" ht="2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</x:row>
    <x:row r="50" ht="2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</x:row>
    <x:row r="51" ht="2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</x:row>
    <x:row r="52" ht="2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</x:row>
    <x:row r="53" ht="2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</x:row>
    <x:row r="54" ht="2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</x:row>
    <x:row r="55" ht="2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</x:row>
    <x:row r="56" ht="2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</x:row>
    <x:row r="57" ht="2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</x:row>
    <x:row r="58" ht="2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</x:row>
    <x:row r="59" ht="2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</x:row>
    <x:row r="60" ht="2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</x:row>
    <x:row r="61" ht="28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</x:row>
    <x:row r="62" ht="28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</x:row>
    <x:row r="63" ht="28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</x:row>
    <x:row r="64" ht="28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</x:row>
    <x:row r="65" ht="28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</x:row>
    <x:row r="66" ht="28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</x:row>
    <x:row r="67" ht="28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</x:row>
    <x:row r="68" ht="28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</x:row>
    <x:row r="69" ht="28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</x:row>
    <x:row r="70" ht="28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</x:row>
    <x:row r="71" ht="28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</x:row>
    <x:row r="72" ht="28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</x:row>
    <x:row r="73" ht="28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</x:row>
    <x:row r="74" ht="28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</x:row>
    <x:row r="75" ht="28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</x:row>
    <x:row r="76" ht="28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</x:row>
    <x:row r="77" ht="28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</x:row>
    <x:row r="78" ht="28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</x:row>
    <x:row r="79" ht="28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</x:row>
    <x:row r="80" ht="28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</x:row>
    <x:row r="81" ht="28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</x:row>
    <x:row r="82" ht="28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</x:row>
    <x:row r="83" ht="28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</x:row>
    <x:row r="84" ht="28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</x:row>
    <x:row r="85" ht="28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</x:row>
    <x:row r="86" ht="28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</x:row>
    <x:row r="87" ht="28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</x:row>
    <x:row r="88" ht="28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</x:row>
    <x:row r="89" ht="28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</x:row>
    <x:row r="90" ht="28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</x:row>
    <x:row r="91" ht="28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</x:row>
    <x:row r="92" ht="28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</x:row>
    <x:row r="93" ht="28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</x:row>
    <x:row r="94" ht="28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</x:row>
    <x:row r="95" ht="28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</x:row>
    <x:row r="96" ht="28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</x:row>
    <x:row r="97" ht="28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</x:row>
    <x:row r="98" ht="28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</x:row>
    <x:row r="99" ht="28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</x:row>
    <x:row r="100" ht="28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</x:row>
    <x:row r="101" ht="28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</x:row>
  </x:sheetData>
  <x:dataValidations count="2">
    <x:dataValidation type="list" sqref="H2:H101">
      <x:formula1>"DUT,REF"</x:formula1>
    </x:dataValidation>
    <x:dataValidation type="list" sqref="U2:U101">
      <x:formula1>"PASS,WATCH,FAIL,INVALID"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7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6" hidden="0" customWidth="1"/>
  </x:cols>
  <x:sheetData>
    <x:row r="1" ht="34" customHeight="1">
      <x:c r="A1" s="7" t="str">
        <x:v>Date</x:v>
      </x:c>
      <x:c r="B1" s="7" t="str">
        <x:v>Scenario</x:v>
      </x:c>
      <x:c r="C1" s="7" t="str">
        <x:v>Operator</x:v>
      </x:c>
      <x:c r="D1" s="7" t="str">
        <x:v>RAT</x:v>
      </x:c>
      <x:c r="E1" s="7" t="str">
        <x:v>Test Case ID</x:v>
      </x:c>
      <x:c r="F1" s="7" t="str">
        <x:v>Metric &amp; Unit</x:v>
      </x:c>
      <x:c r="G1" s="7" t="str">
        <x:v>DUT Model</x:v>
      </x:c>
      <x:c r="H1" s="7" t="str">
        <x:v>DUT Value</x:v>
      </x:c>
      <x:c r="I1" s="7" t="str">
        <x:v>REF Model</x:v>
      </x:c>
      <x:c r="J1" s="7" t="str">
        <x:v>REF Value</x:v>
      </x:c>
      <x:c r="K1" s="7" t="str">
        <x:v>Difference (DUT-REF)</x:v>
      </x:c>
      <x:c r="L1" s="7" t="str">
        <x:v>Relative Difference (%)</x:v>
      </x:c>
      <x:c r="M1" s="7" t="str">
        <x:v>Direction (Lower/Higher Better)</x:v>
      </x:c>
      <x:c r="N1" s="7" t="str">
        <x:v>Assessment</x:v>
      </x:c>
      <x:c r="O1" s="7" t="str">
        <x:v>Bug ID</x:v>
      </x:c>
      <x:c r="P1" s="7" t="str">
        <x:v>Evidence / Notes</x:v>
      </x:c>
    </x:row>
    <x:row r="2" ht="28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 t="str">
        <x:f>IF(OR(H2="",J2=""),"",H2-J2)</x:f>
      </x:c>
      <x:c r="L2" s="14" t="str">
        <x:f>IF(OR(H2="",J2="",J2=0),"",(H2-J2)/J2)</x:f>
      </x:c>
      <x:c r="M2" s="12"/>
      <x:c r="N2" s="12"/>
      <x:c r="O2" s="12"/>
      <x:c r="P2" s="12"/>
    </x:row>
    <x:row r="3" ht="2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 t="str">
        <x:f>IF(OR(H3="",J3=""),"",H3-J3)</x:f>
      </x:c>
      <x:c r="L3" s="14" t="str">
        <x:f>IF(OR(H3="",J3="",J3=0),"",(H3-J3)/J3)</x:f>
      </x:c>
      <x:c r="M3" s="12"/>
      <x:c r="N3" s="12"/>
      <x:c r="O3" s="12"/>
      <x:c r="P3" s="12"/>
    </x:row>
    <x:row r="4" ht="2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 t="str">
        <x:f>IF(OR(H4="",J4=""),"",H4-J4)</x:f>
      </x:c>
      <x:c r="L4" s="14" t="str">
        <x:f>IF(OR(H4="",J4="",J4=0),"",(H4-J4)/J4)</x:f>
      </x:c>
      <x:c r="M4" s="12"/>
      <x:c r="N4" s="12"/>
      <x:c r="O4" s="12"/>
      <x:c r="P4" s="12"/>
    </x:row>
    <x:row r="5" ht="28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 t="str">
        <x:f>IF(OR(H5="",J5=""),"",H5-J5)</x:f>
      </x:c>
      <x:c r="L5" s="14" t="str">
        <x:f>IF(OR(H5="",J5="",J5=0),"",(H5-J5)/J5)</x:f>
      </x:c>
      <x:c r="M5" s="12"/>
      <x:c r="N5" s="12"/>
      <x:c r="O5" s="12"/>
      <x:c r="P5" s="12"/>
    </x:row>
    <x:row r="6" ht="2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 t="str">
        <x:f>IF(OR(H6="",J6=""),"",H6-J6)</x:f>
      </x:c>
      <x:c r="L6" s="14" t="str">
        <x:f>IF(OR(H6="",J6="",J6=0),"",(H6-J6)/J6)</x:f>
      </x:c>
      <x:c r="M6" s="12"/>
      <x:c r="N6" s="12"/>
      <x:c r="O6" s="12"/>
      <x:c r="P6" s="12"/>
    </x:row>
    <x:row r="7" ht="2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 t="str">
        <x:f>IF(OR(H7="",J7=""),"",H7-J7)</x:f>
      </x:c>
      <x:c r="L7" s="14" t="str">
        <x:f>IF(OR(H7="",J7="",J7=0),"",(H7-J7)/J7)</x:f>
      </x:c>
      <x:c r="M7" s="12"/>
      <x:c r="N7" s="12"/>
      <x:c r="O7" s="12"/>
      <x:c r="P7" s="12"/>
    </x:row>
    <x:row r="8" ht="2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 t="str">
        <x:f>IF(OR(H8="",J8=""),"",H8-J8)</x:f>
      </x:c>
      <x:c r="L8" s="14" t="str">
        <x:f>IF(OR(H8="",J8="",J8=0),"",(H8-J8)/J8)</x:f>
      </x:c>
      <x:c r="M8" s="12"/>
      <x:c r="N8" s="12"/>
      <x:c r="O8" s="12"/>
      <x:c r="P8" s="12"/>
    </x:row>
    <x:row r="9" ht="2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 t="str">
        <x:f>IF(OR(H9="",J9=""),"",H9-J9)</x:f>
      </x:c>
      <x:c r="L9" s="14" t="str">
        <x:f>IF(OR(H9="",J9="",J9=0),"",(H9-J9)/J9)</x:f>
      </x:c>
      <x:c r="M9" s="12"/>
      <x:c r="N9" s="12"/>
      <x:c r="O9" s="12"/>
      <x:c r="P9" s="12"/>
    </x:row>
    <x:row r="10" ht="2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 t="str">
        <x:f>IF(OR(H10="",J10=""),"",H10-J10)</x:f>
      </x:c>
      <x:c r="L10" s="14" t="str">
        <x:f>IF(OR(H10="",J10="",J10=0),"",(H10-J10)/J10)</x:f>
      </x:c>
      <x:c r="M10" s="12"/>
      <x:c r="N10" s="12"/>
      <x:c r="O10" s="12"/>
      <x:c r="P10" s="12"/>
    </x:row>
    <x:row r="11" ht="2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 t="str">
        <x:f>IF(OR(H11="",J11=""),"",H11-J11)</x:f>
      </x:c>
      <x:c r="L11" s="14" t="str">
        <x:f>IF(OR(H11="",J11="",J11=0),"",(H11-J11)/J11)</x:f>
      </x:c>
      <x:c r="M11" s="12"/>
      <x:c r="N11" s="12"/>
      <x:c r="O11" s="12"/>
      <x:c r="P11" s="12"/>
    </x:row>
    <x:row r="12" ht="2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 t="str">
        <x:f>IF(OR(H12="",J12=""),"",H12-J12)</x:f>
      </x:c>
      <x:c r="L12" s="14" t="str">
        <x:f>IF(OR(H12="",J12="",J12=0),"",(H12-J12)/J12)</x:f>
      </x:c>
      <x:c r="M12" s="12"/>
      <x:c r="N12" s="12"/>
      <x:c r="O12" s="12"/>
      <x:c r="P12" s="12"/>
    </x:row>
    <x:row r="13" ht="2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 t="str">
        <x:f>IF(OR(H13="",J13=""),"",H13-J13)</x:f>
      </x:c>
      <x:c r="L13" s="14" t="str">
        <x:f>IF(OR(H13="",J13="",J13=0),"",(H13-J13)/J13)</x:f>
      </x:c>
      <x:c r="M13" s="12"/>
      <x:c r="N13" s="12"/>
      <x:c r="O13" s="12"/>
      <x:c r="P13" s="12"/>
    </x:row>
    <x:row r="14" ht="2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 t="str">
        <x:f>IF(OR(H14="",J14=""),"",H14-J14)</x:f>
      </x:c>
      <x:c r="L14" s="14" t="str">
        <x:f>IF(OR(H14="",J14="",J14=0),"",(H14-J14)/J14)</x:f>
      </x:c>
      <x:c r="M14" s="12"/>
      <x:c r="N14" s="12"/>
      <x:c r="O14" s="12"/>
      <x:c r="P14" s="12"/>
    </x:row>
    <x:row r="15" ht="2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 t="str">
        <x:f>IF(OR(H15="",J15=""),"",H15-J15)</x:f>
      </x:c>
      <x:c r="L15" s="14" t="str">
        <x:f>IF(OR(H15="",J15="",J15=0),"",(H15-J15)/J15)</x:f>
      </x:c>
      <x:c r="M15" s="12"/>
      <x:c r="N15" s="12"/>
      <x:c r="O15" s="12"/>
      <x:c r="P15" s="12"/>
    </x:row>
    <x:row r="16" ht="2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 t="str">
        <x:f>IF(OR(H16="",J16=""),"",H16-J16)</x:f>
      </x:c>
      <x:c r="L16" s="14" t="str">
        <x:f>IF(OR(H16="",J16="",J16=0),"",(H16-J16)/J16)</x:f>
      </x:c>
      <x:c r="M16" s="12"/>
      <x:c r="N16" s="12"/>
      <x:c r="O16" s="12"/>
      <x:c r="P16" s="12"/>
    </x:row>
    <x:row r="17" ht="2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 t="str">
        <x:f>IF(OR(H17="",J17=""),"",H17-J17)</x:f>
      </x:c>
      <x:c r="L17" s="14" t="str">
        <x:f>IF(OR(H17="",J17="",J17=0),"",(H17-J17)/J17)</x:f>
      </x:c>
      <x:c r="M17" s="12"/>
      <x:c r="N17" s="12"/>
      <x:c r="O17" s="12"/>
      <x:c r="P17" s="12"/>
    </x:row>
    <x:row r="18" ht="2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 t="str">
        <x:f>IF(OR(H18="",J18=""),"",H18-J18)</x:f>
      </x:c>
      <x:c r="L18" s="14" t="str">
        <x:f>IF(OR(H18="",J18="",J18=0),"",(H18-J18)/J18)</x:f>
      </x:c>
      <x:c r="M18" s="12"/>
      <x:c r="N18" s="12"/>
      <x:c r="O18" s="12"/>
      <x:c r="P18" s="12"/>
    </x:row>
    <x:row r="19" ht="2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 t="str">
        <x:f>IF(OR(H19="",J19=""),"",H19-J19)</x:f>
      </x:c>
      <x:c r="L19" s="14" t="str">
        <x:f>IF(OR(H19="",J19="",J19=0),"",(H19-J19)/J19)</x:f>
      </x:c>
      <x:c r="M19" s="12"/>
      <x:c r="N19" s="12"/>
      <x:c r="O19" s="12"/>
      <x:c r="P19" s="12"/>
    </x:row>
    <x:row r="20" ht="2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 t="str">
        <x:f>IF(OR(H20="",J20=""),"",H20-J20)</x:f>
      </x:c>
      <x:c r="L20" s="14" t="str">
        <x:f>IF(OR(H20="",J20="",J20=0),"",(H20-J20)/J20)</x:f>
      </x:c>
      <x:c r="M20" s="12"/>
      <x:c r="N20" s="12"/>
      <x:c r="O20" s="12"/>
      <x:c r="P20" s="12"/>
    </x:row>
    <x:row r="21" ht="2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 t="str">
        <x:f>IF(OR(H21="",J21=""),"",H21-J21)</x:f>
      </x:c>
      <x:c r="L21" s="14" t="str">
        <x:f>IF(OR(H21="",J21="",J21=0),"",(H21-J21)/J21)</x:f>
      </x:c>
      <x:c r="M21" s="12"/>
      <x:c r="N21" s="12"/>
      <x:c r="O21" s="12"/>
      <x:c r="P21" s="12"/>
    </x:row>
    <x:row r="22" ht="2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 t="str">
        <x:f>IF(OR(H22="",J22=""),"",H22-J22)</x:f>
      </x:c>
      <x:c r="L22" s="14" t="str">
        <x:f>IF(OR(H22="",J22="",J22=0),"",(H22-J22)/J22)</x:f>
      </x:c>
      <x:c r="M22" s="12"/>
      <x:c r="N22" s="12"/>
      <x:c r="O22" s="12"/>
      <x:c r="P22" s="12"/>
    </x:row>
    <x:row r="23" ht="2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 t="str">
        <x:f>IF(OR(H23="",J23=""),"",H23-J23)</x:f>
      </x:c>
      <x:c r="L23" s="14" t="str">
        <x:f>IF(OR(H23="",J23="",J23=0),"",(H23-J23)/J23)</x:f>
      </x:c>
      <x:c r="M23" s="12"/>
      <x:c r="N23" s="12"/>
      <x:c r="O23" s="12"/>
      <x:c r="P23" s="12"/>
    </x:row>
    <x:row r="24" ht="2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 t="str">
        <x:f>IF(OR(H24="",J24=""),"",H24-J24)</x:f>
      </x:c>
      <x:c r="L24" s="14" t="str">
        <x:f>IF(OR(H24="",J24="",J24=0),"",(H24-J24)/J24)</x:f>
      </x:c>
      <x:c r="M24" s="12"/>
      <x:c r="N24" s="12"/>
      <x:c r="O24" s="12"/>
      <x:c r="P24" s="12"/>
    </x:row>
    <x:row r="25" ht="2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 t="str">
        <x:f>IF(OR(H25="",J25=""),"",H25-J25)</x:f>
      </x:c>
      <x:c r="L25" s="14" t="str">
        <x:f>IF(OR(H25="",J25="",J25=0),"",(H25-J25)/J25)</x:f>
      </x:c>
      <x:c r="M25" s="12"/>
      <x:c r="N25" s="12"/>
      <x:c r="O25" s="12"/>
      <x:c r="P25" s="12"/>
    </x:row>
    <x:row r="26" ht="2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 t="str">
        <x:f>IF(OR(H26="",J26=""),"",H26-J26)</x:f>
      </x:c>
      <x:c r="L26" s="14" t="str">
        <x:f>IF(OR(H26="",J26="",J26=0),"",(H26-J26)/J26)</x:f>
      </x:c>
      <x:c r="M26" s="12"/>
      <x:c r="N26" s="12"/>
      <x:c r="O26" s="12"/>
      <x:c r="P26" s="12"/>
    </x:row>
    <x:row r="27" ht="2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 t="str">
        <x:f>IF(OR(H27="",J27=""),"",H27-J27)</x:f>
      </x:c>
      <x:c r="L27" s="14" t="str">
        <x:f>IF(OR(H27="",J27="",J27=0),"",(H27-J27)/J27)</x:f>
      </x:c>
      <x:c r="M27" s="12"/>
      <x:c r="N27" s="12"/>
      <x:c r="O27" s="12"/>
      <x:c r="P27" s="12"/>
    </x:row>
    <x:row r="28" ht="2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 t="str">
        <x:f>IF(OR(H28="",J28=""),"",H28-J28)</x:f>
      </x:c>
      <x:c r="L28" s="14" t="str">
        <x:f>IF(OR(H28="",J28="",J28=0),"",(H28-J28)/J28)</x:f>
      </x:c>
      <x:c r="M28" s="12"/>
      <x:c r="N28" s="12"/>
      <x:c r="O28" s="12"/>
      <x:c r="P28" s="12"/>
    </x:row>
    <x:row r="29" ht="2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 t="str">
        <x:f>IF(OR(H29="",J29=""),"",H29-J29)</x:f>
      </x:c>
      <x:c r="L29" s="14" t="str">
        <x:f>IF(OR(H29="",J29="",J29=0),"",(H29-J29)/J29)</x:f>
      </x:c>
      <x:c r="M29" s="12"/>
      <x:c r="N29" s="12"/>
      <x:c r="O29" s="12"/>
      <x:c r="P29" s="12"/>
    </x:row>
    <x:row r="30" ht="2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 t="str">
        <x:f>IF(OR(H30="",J30=""),"",H30-J30)</x:f>
      </x:c>
      <x:c r="L30" s="14" t="str">
        <x:f>IF(OR(H30="",J30="",J30=0),"",(H30-J30)/J30)</x:f>
      </x:c>
      <x:c r="M30" s="12"/>
      <x:c r="N30" s="12"/>
      <x:c r="O30" s="12"/>
      <x:c r="P30" s="12"/>
    </x:row>
    <x:row r="31" ht="2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 t="str">
        <x:f>IF(OR(H31="",J31=""),"",H31-J31)</x:f>
      </x:c>
      <x:c r="L31" s="14" t="str">
        <x:f>IF(OR(H31="",J31="",J31=0),"",(H31-J31)/J31)</x:f>
      </x:c>
      <x:c r="M31" s="12"/>
      <x:c r="N31" s="12"/>
      <x:c r="O31" s="12"/>
      <x:c r="P31" s="12"/>
    </x:row>
    <x:row r="32" ht="2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 t="str">
        <x:f>IF(OR(H32="",J32=""),"",H32-J32)</x:f>
      </x:c>
      <x:c r="L32" s="14" t="str">
        <x:f>IF(OR(H32="",J32="",J32=0),"",(H32-J32)/J32)</x:f>
      </x:c>
      <x:c r="M32" s="12"/>
      <x:c r="N32" s="12"/>
      <x:c r="O32" s="12"/>
      <x:c r="P32" s="12"/>
    </x:row>
    <x:row r="33" ht="2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 t="str">
        <x:f>IF(OR(H33="",J33=""),"",H33-J33)</x:f>
      </x:c>
      <x:c r="L33" s="14" t="str">
        <x:f>IF(OR(H33="",J33="",J33=0),"",(H33-J33)/J33)</x:f>
      </x:c>
      <x:c r="M33" s="12"/>
      <x:c r="N33" s="12"/>
      <x:c r="O33" s="12"/>
      <x:c r="P33" s="12"/>
    </x:row>
    <x:row r="34" ht="2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 t="str">
        <x:f>IF(OR(H34="",J34=""),"",H34-J34)</x:f>
      </x:c>
      <x:c r="L34" s="14" t="str">
        <x:f>IF(OR(H34="",J34="",J34=0),"",(H34-J34)/J34)</x:f>
      </x:c>
      <x:c r="M34" s="12"/>
      <x:c r="N34" s="12"/>
      <x:c r="O34" s="12"/>
      <x:c r="P34" s="12"/>
    </x:row>
    <x:row r="35" ht="2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 t="str">
        <x:f>IF(OR(H35="",J35=""),"",H35-J35)</x:f>
      </x:c>
      <x:c r="L35" s="14" t="str">
        <x:f>IF(OR(H35="",J35="",J35=0),"",(H35-J35)/J35)</x:f>
      </x:c>
      <x:c r="M35" s="12"/>
      <x:c r="N35" s="12"/>
      <x:c r="O35" s="12"/>
      <x:c r="P35" s="12"/>
    </x:row>
    <x:row r="36" ht="2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 t="str">
        <x:f>IF(OR(H36="",J36=""),"",H36-J36)</x:f>
      </x:c>
      <x:c r="L36" s="14" t="str">
        <x:f>IF(OR(H36="",J36="",J36=0),"",(H36-J36)/J36)</x:f>
      </x:c>
      <x:c r="M36" s="12"/>
      <x:c r="N36" s="12"/>
      <x:c r="O36" s="12"/>
      <x:c r="P36" s="12"/>
    </x:row>
    <x:row r="37" ht="2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 t="str">
        <x:f>IF(OR(H37="",J37=""),"",H37-J37)</x:f>
      </x:c>
      <x:c r="L37" s="14" t="str">
        <x:f>IF(OR(H37="",J37="",J37=0),"",(H37-J37)/J37)</x:f>
      </x:c>
      <x:c r="M37" s="12"/>
      <x:c r="N37" s="12"/>
      <x:c r="O37" s="12"/>
      <x:c r="P37" s="12"/>
    </x:row>
    <x:row r="38" ht="2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 t="str">
        <x:f>IF(OR(H38="",J38=""),"",H38-J38)</x:f>
      </x:c>
      <x:c r="L38" s="14" t="str">
        <x:f>IF(OR(H38="",J38="",J38=0),"",(H38-J38)/J38)</x:f>
      </x:c>
      <x:c r="M38" s="12"/>
      <x:c r="N38" s="12"/>
      <x:c r="O38" s="12"/>
      <x:c r="P38" s="12"/>
    </x:row>
    <x:row r="39" ht="2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 t="str">
        <x:f>IF(OR(H39="",J39=""),"",H39-J39)</x:f>
      </x:c>
      <x:c r="L39" s="14" t="str">
        <x:f>IF(OR(H39="",J39="",J39=0),"",(H39-J39)/J39)</x:f>
      </x:c>
      <x:c r="M39" s="12"/>
      <x:c r="N39" s="12"/>
      <x:c r="O39" s="12"/>
      <x:c r="P39" s="12"/>
    </x:row>
    <x:row r="40" ht="2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 t="str">
        <x:f>IF(OR(H40="",J40=""),"",H40-J40)</x:f>
      </x:c>
      <x:c r="L40" s="14" t="str">
        <x:f>IF(OR(H40="",J40="",J40=0),"",(H40-J40)/J40)</x:f>
      </x:c>
      <x:c r="M40" s="12"/>
      <x:c r="N40" s="12"/>
      <x:c r="O40" s="12"/>
      <x:c r="P40" s="12"/>
    </x:row>
    <x:row r="41" ht="2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 t="str">
        <x:f>IF(OR(H41="",J41=""),"",H41-J41)</x:f>
      </x:c>
      <x:c r="L41" s="14" t="str">
        <x:f>IF(OR(H41="",J41="",J41=0),"",(H41-J41)/J41)</x:f>
      </x:c>
      <x:c r="M41" s="12"/>
      <x:c r="N41" s="12"/>
      <x:c r="O41" s="12"/>
      <x:c r="P41" s="12"/>
    </x:row>
    <x:row r="42" ht="2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 t="str">
        <x:f>IF(OR(H42="",J42=""),"",H42-J42)</x:f>
      </x:c>
      <x:c r="L42" s="14" t="str">
        <x:f>IF(OR(H42="",J42="",J42=0),"",(H42-J42)/J42)</x:f>
      </x:c>
      <x:c r="M42" s="12"/>
      <x:c r="N42" s="12"/>
      <x:c r="O42" s="12"/>
      <x:c r="P42" s="12"/>
    </x:row>
    <x:row r="43" ht="2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 t="str">
        <x:f>IF(OR(H43="",J43=""),"",H43-J43)</x:f>
      </x:c>
      <x:c r="L43" s="14" t="str">
        <x:f>IF(OR(H43="",J43="",J43=0),"",(H43-J43)/J43)</x:f>
      </x:c>
      <x:c r="M43" s="12"/>
      <x:c r="N43" s="12"/>
      <x:c r="O43" s="12"/>
      <x:c r="P43" s="12"/>
    </x:row>
    <x:row r="44" ht="2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 t="str">
        <x:f>IF(OR(H44="",J44=""),"",H44-J44)</x:f>
      </x:c>
      <x:c r="L44" s="14" t="str">
        <x:f>IF(OR(H44="",J44="",J44=0),"",(H44-J44)/J44)</x:f>
      </x:c>
      <x:c r="M44" s="12"/>
      <x:c r="N44" s="12"/>
      <x:c r="O44" s="12"/>
      <x:c r="P44" s="12"/>
    </x:row>
    <x:row r="45" ht="2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 t="str">
        <x:f>IF(OR(H45="",J45=""),"",H45-J45)</x:f>
      </x:c>
      <x:c r="L45" s="14" t="str">
        <x:f>IF(OR(H45="",J45="",J45=0),"",(H45-J45)/J45)</x:f>
      </x:c>
      <x:c r="M45" s="12"/>
      <x:c r="N45" s="12"/>
      <x:c r="O45" s="12"/>
      <x:c r="P45" s="12"/>
    </x:row>
    <x:row r="46" ht="2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 t="str">
        <x:f>IF(OR(H46="",J46=""),"",H46-J46)</x:f>
      </x:c>
      <x:c r="L46" s="14" t="str">
        <x:f>IF(OR(H46="",J46="",J46=0),"",(H46-J46)/J46)</x:f>
      </x:c>
      <x:c r="M46" s="12"/>
      <x:c r="N46" s="12"/>
      <x:c r="O46" s="12"/>
      <x:c r="P46" s="12"/>
    </x:row>
    <x:row r="47" ht="2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 t="str">
        <x:f>IF(OR(H47="",J47=""),"",H47-J47)</x:f>
      </x:c>
      <x:c r="L47" s="14" t="str">
        <x:f>IF(OR(H47="",J47="",J47=0),"",(H47-J47)/J47)</x:f>
      </x:c>
      <x:c r="M47" s="12"/>
      <x:c r="N47" s="12"/>
      <x:c r="O47" s="12"/>
      <x:c r="P47" s="12"/>
    </x:row>
    <x:row r="48" ht="2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 t="str">
        <x:f>IF(OR(H48="",J48=""),"",H48-J48)</x:f>
      </x:c>
      <x:c r="L48" s="14" t="str">
        <x:f>IF(OR(H48="",J48="",J48=0),"",(H48-J48)/J48)</x:f>
      </x:c>
      <x:c r="M48" s="12"/>
      <x:c r="N48" s="12"/>
      <x:c r="O48" s="12"/>
      <x:c r="P48" s="12"/>
    </x:row>
    <x:row r="49" ht="2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 t="str">
        <x:f>IF(OR(H49="",J49=""),"",H49-J49)</x:f>
      </x:c>
      <x:c r="L49" s="14" t="str">
        <x:f>IF(OR(H49="",J49="",J49=0),"",(H49-J49)/J49)</x:f>
      </x:c>
      <x:c r="M49" s="12"/>
      <x:c r="N49" s="12"/>
      <x:c r="O49" s="12"/>
      <x:c r="P49" s="12"/>
    </x:row>
    <x:row r="50" ht="2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 t="str">
        <x:f>IF(OR(H50="",J50=""),"",H50-J50)</x:f>
      </x:c>
      <x:c r="L50" s="14" t="str">
        <x:f>IF(OR(H50="",J50="",J50=0),"",(H50-J50)/J50)</x:f>
      </x:c>
      <x:c r="M50" s="12"/>
      <x:c r="N50" s="12"/>
      <x:c r="O50" s="12"/>
      <x:c r="P50" s="12"/>
    </x:row>
    <x:row r="51" ht="2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 t="str">
        <x:f>IF(OR(H51="",J51=""),"",H51-J51)</x:f>
      </x:c>
      <x:c r="L51" s="14" t="str">
        <x:f>IF(OR(H51="",J51="",J51=0),"",(H51-J51)/J51)</x:f>
      </x:c>
      <x:c r="M51" s="12"/>
      <x:c r="N51" s="12"/>
      <x:c r="O51" s="12"/>
      <x:c r="P51" s="12"/>
    </x:row>
    <x:row r="52" ht="2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 t="str">
        <x:f>IF(OR(H52="",J52=""),"",H52-J52)</x:f>
      </x:c>
      <x:c r="L52" s="14" t="str">
        <x:f>IF(OR(H52="",J52="",J52=0),"",(H52-J52)/J52)</x:f>
      </x:c>
      <x:c r="M52" s="12"/>
      <x:c r="N52" s="12"/>
      <x:c r="O52" s="12"/>
      <x:c r="P52" s="12"/>
    </x:row>
    <x:row r="53" ht="2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 t="str">
        <x:f>IF(OR(H53="",J53=""),"",H53-J53)</x:f>
      </x:c>
      <x:c r="L53" s="14" t="str">
        <x:f>IF(OR(H53="",J53="",J53=0),"",(H53-J53)/J53)</x:f>
      </x:c>
      <x:c r="M53" s="12"/>
      <x:c r="N53" s="12"/>
      <x:c r="O53" s="12"/>
      <x:c r="P53" s="12"/>
    </x:row>
    <x:row r="54" ht="2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 t="str">
        <x:f>IF(OR(H54="",J54=""),"",H54-J54)</x:f>
      </x:c>
      <x:c r="L54" s="14" t="str">
        <x:f>IF(OR(H54="",J54="",J54=0),"",(H54-J54)/J54)</x:f>
      </x:c>
      <x:c r="M54" s="12"/>
      <x:c r="N54" s="12"/>
      <x:c r="O54" s="12"/>
      <x:c r="P54" s="12"/>
    </x:row>
    <x:row r="55" ht="2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 t="str">
        <x:f>IF(OR(H55="",J55=""),"",H55-J55)</x:f>
      </x:c>
      <x:c r="L55" s="14" t="str">
        <x:f>IF(OR(H55="",J55="",J55=0),"",(H55-J55)/J55)</x:f>
      </x:c>
      <x:c r="M55" s="12"/>
      <x:c r="N55" s="12"/>
      <x:c r="O55" s="12"/>
      <x:c r="P55" s="12"/>
    </x:row>
    <x:row r="56" ht="2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 t="str">
        <x:f>IF(OR(H56="",J56=""),"",H56-J56)</x:f>
      </x:c>
      <x:c r="L56" s="14" t="str">
        <x:f>IF(OR(H56="",J56="",J56=0),"",(H56-J56)/J56)</x:f>
      </x:c>
      <x:c r="M56" s="12"/>
      <x:c r="N56" s="12"/>
      <x:c r="O56" s="12"/>
      <x:c r="P56" s="12"/>
    </x:row>
    <x:row r="57" ht="2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 t="str">
        <x:f>IF(OR(H57="",J57=""),"",H57-J57)</x:f>
      </x:c>
      <x:c r="L57" s="14" t="str">
        <x:f>IF(OR(H57="",J57="",J57=0),"",(H57-J57)/J57)</x:f>
      </x:c>
      <x:c r="M57" s="12"/>
      <x:c r="N57" s="12"/>
      <x:c r="O57" s="12"/>
      <x:c r="P57" s="12"/>
    </x:row>
    <x:row r="58" ht="2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 t="str">
        <x:f>IF(OR(H58="",J58=""),"",H58-J58)</x:f>
      </x:c>
      <x:c r="L58" s="14" t="str">
        <x:f>IF(OR(H58="",J58="",J58=0),"",(H58-J58)/J58)</x:f>
      </x:c>
      <x:c r="M58" s="12"/>
      <x:c r="N58" s="12"/>
      <x:c r="O58" s="12"/>
      <x:c r="P58" s="12"/>
    </x:row>
    <x:row r="59" ht="2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 t="str">
        <x:f>IF(OR(H59="",J59=""),"",H59-J59)</x:f>
      </x:c>
      <x:c r="L59" s="14" t="str">
        <x:f>IF(OR(H59="",J59="",J59=0),"",(H59-J59)/J59)</x:f>
      </x:c>
      <x:c r="M59" s="12"/>
      <x:c r="N59" s="12"/>
      <x:c r="O59" s="12"/>
      <x:c r="P59" s="12"/>
    </x:row>
    <x:row r="60" ht="2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 t="str">
        <x:f>IF(OR(H60="",J60=""),"",H60-J60)</x:f>
      </x:c>
      <x:c r="L60" s="14" t="str">
        <x:f>IF(OR(H60="",J60="",J60=0),"",(H60-J60)/J60)</x:f>
      </x:c>
      <x:c r="M60" s="12"/>
      <x:c r="N60" s="12"/>
      <x:c r="O60" s="12"/>
      <x:c r="P60" s="12"/>
    </x:row>
    <x:row r="61" ht="28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 t="str">
        <x:f>IF(OR(H61="",J61=""),"",H61-J61)</x:f>
      </x:c>
      <x:c r="L61" s="14" t="str">
        <x:f>IF(OR(H61="",J61="",J61=0),"",(H61-J61)/J61)</x:f>
      </x:c>
      <x:c r="M61" s="12"/>
      <x:c r="N61" s="12"/>
      <x:c r="O61" s="12"/>
      <x:c r="P61" s="12"/>
    </x:row>
    <x:row r="62" ht="28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 t="str">
        <x:f>IF(OR(H62="",J62=""),"",H62-J62)</x:f>
      </x:c>
      <x:c r="L62" s="14" t="str">
        <x:f>IF(OR(H62="",J62="",J62=0),"",(H62-J62)/J62)</x:f>
      </x:c>
      <x:c r="M62" s="12"/>
      <x:c r="N62" s="12"/>
      <x:c r="O62" s="12"/>
      <x:c r="P62" s="12"/>
    </x:row>
    <x:row r="63" ht="28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 t="str">
        <x:f>IF(OR(H63="",J63=""),"",H63-J63)</x:f>
      </x:c>
      <x:c r="L63" s="14" t="str">
        <x:f>IF(OR(H63="",J63="",J63=0),"",(H63-J63)/J63)</x:f>
      </x:c>
      <x:c r="M63" s="12"/>
      <x:c r="N63" s="12"/>
      <x:c r="O63" s="12"/>
      <x:c r="P63" s="12"/>
    </x:row>
    <x:row r="64" ht="28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 t="str">
        <x:f>IF(OR(H64="",J64=""),"",H64-J64)</x:f>
      </x:c>
      <x:c r="L64" s="14" t="str">
        <x:f>IF(OR(H64="",J64="",J64=0),"",(H64-J64)/J64)</x:f>
      </x:c>
      <x:c r="M64" s="12"/>
      <x:c r="N64" s="12"/>
      <x:c r="O64" s="12"/>
      <x:c r="P64" s="12"/>
    </x:row>
    <x:row r="65" ht="28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 t="str">
        <x:f>IF(OR(H65="",J65=""),"",H65-J65)</x:f>
      </x:c>
      <x:c r="L65" s="14" t="str">
        <x:f>IF(OR(H65="",J65="",J65=0),"",(H65-J65)/J65)</x:f>
      </x:c>
      <x:c r="M65" s="12"/>
      <x:c r="N65" s="12"/>
      <x:c r="O65" s="12"/>
      <x:c r="P65" s="12"/>
    </x:row>
    <x:row r="66" ht="28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 t="str">
        <x:f>IF(OR(H66="",J66=""),"",H66-J66)</x:f>
      </x:c>
      <x:c r="L66" s="14" t="str">
        <x:f>IF(OR(H66="",J66="",J66=0),"",(H66-J66)/J66)</x:f>
      </x:c>
      <x:c r="M66" s="12"/>
      <x:c r="N66" s="12"/>
      <x:c r="O66" s="12"/>
      <x:c r="P66" s="12"/>
    </x:row>
    <x:row r="67" ht="28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 t="str">
        <x:f>IF(OR(H67="",J67=""),"",H67-J67)</x:f>
      </x:c>
      <x:c r="L67" s="14" t="str">
        <x:f>IF(OR(H67="",J67="",J67=0),"",(H67-J67)/J67)</x:f>
      </x:c>
      <x:c r="M67" s="12"/>
      <x:c r="N67" s="12"/>
      <x:c r="O67" s="12"/>
      <x:c r="P67" s="12"/>
    </x:row>
    <x:row r="68" ht="28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 t="str">
        <x:f>IF(OR(H68="",J68=""),"",H68-J68)</x:f>
      </x:c>
      <x:c r="L68" s="14" t="str">
        <x:f>IF(OR(H68="",J68="",J68=0),"",(H68-J68)/J68)</x:f>
      </x:c>
      <x:c r="M68" s="12"/>
      <x:c r="N68" s="12"/>
      <x:c r="O68" s="12"/>
      <x:c r="P68" s="12"/>
    </x:row>
    <x:row r="69" ht="28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 t="str">
        <x:f>IF(OR(H69="",J69=""),"",H69-J69)</x:f>
      </x:c>
      <x:c r="L69" s="14" t="str">
        <x:f>IF(OR(H69="",J69="",J69=0),"",(H69-J69)/J69)</x:f>
      </x:c>
      <x:c r="M69" s="12"/>
      <x:c r="N69" s="12"/>
      <x:c r="O69" s="12"/>
      <x:c r="P69" s="12"/>
    </x:row>
    <x:row r="70" ht="28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 t="str">
        <x:f>IF(OR(H70="",J70=""),"",H70-J70)</x:f>
      </x:c>
      <x:c r="L70" s="14" t="str">
        <x:f>IF(OR(H70="",J70="",J70=0),"",(H70-J70)/J70)</x:f>
      </x:c>
      <x:c r="M70" s="12"/>
      <x:c r="N70" s="12"/>
      <x:c r="O70" s="12"/>
      <x:c r="P70" s="12"/>
    </x:row>
    <x:row r="71" ht="28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 t="str">
        <x:f>IF(OR(H71="",J71=""),"",H71-J71)</x:f>
      </x:c>
      <x:c r="L71" s="14" t="str">
        <x:f>IF(OR(H71="",J71="",J71=0),"",(H71-J71)/J71)</x:f>
      </x:c>
      <x:c r="M71" s="12"/>
      <x:c r="N71" s="12"/>
      <x:c r="O71" s="12"/>
      <x:c r="P71" s="12"/>
    </x:row>
    <x:row r="72" ht="28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 t="str">
        <x:f>IF(OR(H72="",J72=""),"",H72-J72)</x:f>
      </x:c>
      <x:c r="L72" s="14" t="str">
        <x:f>IF(OR(H72="",J72="",J72=0),"",(H72-J72)/J72)</x:f>
      </x:c>
      <x:c r="M72" s="12"/>
      <x:c r="N72" s="12"/>
      <x:c r="O72" s="12"/>
      <x:c r="P72" s="12"/>
    </x:row>
    <x:row r="73" ht="28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 t="str">
        <x:f>IF(OR(H73="",J73=""),"",H73-J73)</x:f>
      </x:c>
      <x:c r="L73" s="14" t="str">
        <x:f>IF(OR(H73="",J73="",J73=0),"",(H73-J73)/J73)</x:f>
      </x:c>
      <x:c r="M73" s="12"/>
      <x:c r="N73" s="12"/>
      <x:c r="O73" s="12"/>
      <x:c r="P73" s="12"/>
    </x:row>
    <x:row r="74" ht="28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 t="str">
        <x:f>IF(OR(H74="",J74=""),"",H74-J74)</x:f>
      </x:c>
      <x:c r="L74" s="14" t="str">
        <x:f>IF(OR(H74="",J74="",J74=0),"",(H74-J74)/J74)</x:f>
      </x:c>
      <x:c r="M74" s="12"/>
      <x:c r="N74" s="12"/>
      <x:c r="O74" s="12"/>
      <x:c r="P74" s="12"/>
    </x:row>
    <x:row r="75" ht="28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 t="str">
        <x:f>IF(OR(H75="",J75=""),"",H75-J75)</x:f>
      </x:c>
      <x:c r="L75" s="14" t="str">
        <x:f>IF(OR(H75="",J75="",J75=0),"",(H75-J75)/J75)</x:f>
      </x:c>
      <x:c r="M75" s="12"/>
      <x:c r="N75" s="12"/>
      <x:c r="O75" s="12"/>
      <x:c r="P75" s="12"/>
    </x:row>
    <x:row r="76" ht="28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 t="str">
        <x:f>IF(OR(H76="",J76=""),"",H76-J76)</x:f>
      </x:c>
      <x:c r="L76" s="14" t="str">
        <x:f>IF(OR(H76="",J76="",J76=0),"",(H76-J76)/J76)</x:f>
      </x:c>
      <x:c r="M76" s="12"/>
      <x:c r="N76" s="12"/>
      <x:c r="O76" s="12"/>
      <x:c r="P76" s="12"/>
    </x:row>
    <x:row r="77" ht="28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 t="str">
        <x:f>IF(OR(H77="",J77=""),"",H77-J77)</x:f>
      </x:c>
      <x:c r="L77" s="14" t="str">
        <x:f>IF(OR(H77="",J77="",J77=0),"",(H77-J77)/J77)</x:f>
      </x:c>
      <x:c r="M77" s="12"/>
      <x:c r="N77" s="12"/>
      <x:c r="O77" s="12"/>
      <x:c r="P77" s="12"/>
    </x:row>
    <x:row r="78" ht="28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 t="str">
        <x:f>IF(OR(H78="",J78=""),"",H78-J78)</x:f>
      </x:c>
      <x:c r="L78" s="14" t="str">
        <x:f>IF(OR(H78="",J78="",J78=0),"",(H78-J78)/J78)</x:f>
      </x:c>
      <x:c r="M78" s="12"/>
      <x:c r="N78" s="12"/>
      <x:c r="O78" s="12"/>
      <x:c r="P78" s="12"/>
    </x:row>
    <x:row r="79" ht="28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 t="str">
        <x:f>IF(OR(H79="",J79=""),"",H79-J79)</x:f>
      </x:c>
      <x:c r="L79" s="14" t="str">
        <x:f>IF(OR(H79="",J79="",J79=0),"",(H79-J79)/J79)</x:f>
      </x:c>
      <x:c r="M79" s="12"/>
      <x:c r="N79" s="12"/>
      <x:c r="O79" s="12"/>
      <x:c r="P79" s="12"/>
    </x:row>
    <x:row r="80" ht="28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 t="str">
        <x:f>IF(OR(H80="",J80=""),"",H80-J80)</x:f>
      </x:c>
      <x:c r="L80" s="14" t="str">
        <x:f>IF(OR(H80="",J80="",J80=0),"",(H80-J80)/J80)</x:f>
      </x:c>
      <x:c r="M80" s="12"/>
      <x:c r="N80" s="12"/>
      <x:c r="O80" s="12"/>
      <x:c r="P80" s="12"/>
    </x:row>
    <x:row r="81" ht="28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 t="str">
        <x:f>IF(OR(H81="",J81=""),"",H81-J81)</x:f>
      </x:c>
      <x:c r="L81" s="14" t="str">
        <x:f>IF(OR(H81="",J81="",J81=0),"",(H81-J81)/J81)</x:f>
      </x:c>
      <x:c r="M81" s="12"/>
      <x:c r="N81" s="12"/>
      <x:c r="O81" s="12"/>
      <x:c r="P81" s="12"/>
    </x:row>
    <x:row r="82" ht="28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 t="str">
        <x:f>IF(OR(H82="",J82=""),"",H82-J82)</x:f>
      </x:c>
      <x:c r="L82" s="14" t="str">
        <x:f>IF(OR(H82="",J82="",J82=0),"",(H82-J82)/J82)</x:f>
      </x:c>
      <x:c r="M82" s="12"/>
      <x:c r="N82" s="12"/>
      <x:c r="O82" s="12"/>
      <x:c r="P82" s="12"/>
    </x:row>
    <x:row r="83" ht="28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 t="str">
        <x:f>IF(OR(H83="",J83=""),"",H83-J83)</x:f>
      </x:c>
      <x:c r="L83" s="14" t="str">
        <x:f>IF(OR(H83="",J83="",J83=0),"",(H83-J83)/J83)</x:f>
      </x:c>
      <x:c r="M83" s="12"/>
      <x:c r="N83" s="12"/>
      <x:c r="O83" s="12"/>
      <x:c r="P83" s="12"/>
    </x:row>
    <x:row r="84" ht="28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 t="str">
        <x:f>IF(OR(H84="",J84=""),"",H84-J84)</x:f>
      </x:c>
      <x:c r="L84" s="14" t="str">
        <x:f>IF(OR(H84="",J84="",J84=0),"",(H84-J84)/J84)</x:f>
      </x:c>
      <x:c r="M84" s="12"/>
      <x:c r="N84" s="12"/>
      <x:c r="O84" s="12"/>
      <x:c r="P84" s="12"/>
    </x:row>
    <x:row r="85" ht="28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 t="str">
        <x:f>IF(OR(H85="",J85=""),"",H85-J85)</x:f>
      </x:c>
      <x:c r="L85" s="14" t="str">
        <x:f>IF(OR(H85="",J85="",J85=0),"",(H85-J85)/J85)</x:f>
      </x:c>
      <x:c r="M85" s="12"/>
      <x:c r="N85" s="12"/>
      <x:c r="O85" s="12"/>
      <x:c r="P85" s="12"/>
    </x:row>
    <x:row r="86" ht="28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 t="str">
        <x:f>IF(OR(H86="",J86=""),"",H86-J86)</x:f>
      </x:c>
      <x:c r="L86" s="14" t="str">
        <x:f>IF(OR(H86="",J86="",J86=0),"",(H86-J86)/J86)</x:f>
      </x:c>
      <x:c r="M86" s="12"/>
      <x:c r="N86" s="12"/>
      <x:c r="O86" s="12"/>
      <x:c r="P86" s="12"/>
    </x:row>
    <x:row r="87" ht="28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 t="str">
        <x:f>IF(OR(H87="",J87=""),"",H87-J87)</x:f>
      </x:c>
      <x:c r="L87" s="14" t="str">
        <x:f>IF(OR(H87="",J87="",J87=0),"",(H87-J87)/J87)</x:f>
      </x:c>
      <x:c r="M87" s="12"/>
      <x:c r="N87" s="12"/>
      <x:c r="O87" s="12"/>
      <x:c r="P87" s="12"/>
    </x:row>
    <x:row r="88" ht="28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 t="str">
        <x:f>IF(OR(H88="",J88=""),"",H88-J88)</x:f>
      </x:c>
      <x:c r="L88" s="14" t="str">
        <x:f>IF(OR(H88="",J88="",J88=0),"",(H88-J88)/J88)</x:f>
      </x:c>
      <x:c r="M88" s="12"/>
      <x:c r="N88" s="12"/>
      <x:c r="O88" s="12"/>
      <x:c r="P88" s="12"/>
    </x:row>
    <x:row r="89" ht="28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 t="str">
        <x:f>IF(OR(H89="",J89=""),"",H89-J89)</x:f>
      </x:c>
      <x:c r="L89" s="14" t="str">
        <x:f>IF(OR(H89="",J89="",J89=0),"",(H89-J89)/J89)</x:f>
      </x:c>
      <x:c r="M89" s="12"/>
      <x:c r="N89" s="12"/>
      <x:c r="O89" s="12"/>
      <x:c r="P89" s="12"/>
    </x:row>
    <x:row r="90" ht="28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 t="str">
        <x:f>IF(OR(H90="",J90=""),"",H90-J90)</x:f>
      </x:c>
      <x:c r="L90" s="14" t="str">
        <x:f>IF(OR(H90="",J90="",J90=0),"",(H90-J90)/J90)</x:f>
      </x:c>
      <x:c r="M90" s="12"/>
      <x:c r="N90" s="12"/>
      <x:c r="O90" s="12"/>
      <x:c r="P90" s="12"/>
    </x:row>
    <x:row r="91" ht="28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 t="str">
        <x:f>IF(OR(H91="",J91=""),"",H91-J91)</x:f>
      </x:c>
      <x:c r="L91" s="14" t="str">
        <x:f>IF(OR(H91="",J91="",J91=0),"",(H91-J91)/J91)</x:f>
      </x:c>
      <x:c r="M91" s="12"/>
      <x:c r="N91" s="12"/>
      <x:c r="O91" s="12"/>
      <x:c r="P91" s="12"/>
    </x:row>
    <x:row r="92" ht="28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 t="str">
        <x:f>IF(OR(H92="",J92=""),"",H92-J92)</x:f>
      </x:c>
      <x:c r="L92" s="14" t="str">
        <x:f>IF(OR(H92="",J92="",J92=0),"",(H92-J92)/J92)</x:f>
      </x:c>
      <x:c r="M92" s="12"/>
      <x:c r="N92" s="12"/>
      <x:c r="O92" s="12"/>
      <x:c r="P92" s="12"/>
    </x:row>
    <x:row r="93" ht="28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 t="str">
        <x:f>IF(OR(H93="",J93=""),"",H93-J93)</x:f>
      </x:c>
      <x:c r="L93" s="14" t="str">
        <x:f>IF(OR(H93="",J93="",J93=0),"",(H93-J93)/J93)</x:f>
      </x:c>
      <x:c r="M93" s="12"/>
      <x:c r="N93" s="12"/>
      <x:c r="O93" s="12"/>
      <x:c r="P93" s="12"/>
    </x:row>
    <x:row r="94" ht="28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 t="str">
        <x:f>IF(OR(H94="",J94=""),"",H94-J94)</x:f>
      </x:c>
      <x:c r="L94" s="14" t="str">
        <x:f>IF(OR(H94="",J94="",J94=0),"",(H94-J94)/J94)</x:f>
      </x:c>
      <x:c r="M94" s="12"/>
      <x:c r="N94" s="12"/>
      <x:c r="O94" s="12"/>
      <x:c r="P94" s="12"/>
    </x:row>
    <x:row r="95" ht="28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 t="str">
        <x:f>IF(OR(H95="",J95=""),"",H95-J95)</x:f>
      </x:c>
      <x:c r="L95" s="14" t="str">
        <x:f>IF(OR(H95="",J95="",J95=0),"",(H95-J95)/J95)</x:f>
      </x:c>
      <x:c r="M95" s="12"/>
      <x:c r="N95" s="12"/>
      <x:c r="O95" s="12"/>
      <x:c r="P95" s="12"/>
    </x:row>
    <x:row r="96" ht="28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 t="str">
        <x:f>IF(OR(H96="",J96=""),"",H96-J96)</x:f>
      </x:c>
      <x:c r="L96" s="14" t="str">
        <x:f>IF(OR(H96="",J96="",J96=0),"",(H96-J96)/J96)</x:f>
      </x:c>
      <x:c r="M96" s="12"/>
      <x:c r="N96" s="12"/>
      <x:c r="O96" s="12"/>
      <x:c r="P96" s="12"/>
    </x:row>
    <x:row r="97" ht="28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 t="str">
        <x:f>IF(OR(H97="",J97=""),"",H97-J97)</x:f>
      </x:c>
      <x:c r="L97" s="14" t="str">
        <x:f>IF(OR(H97="",J97="",J97=0),"",(H97-J97)/J97)</x:f>
      </x:c>
      <x:c r="M97" s="12"/>
      <x:c r="N97" s="12"/>
      <x:c r="O97" s="12"/>
      <x:c r="P97" s="12"/>
    </x:row>
    <x:row r="98" ht="28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 t="str">
        <x:f>IF(OR(H98="",J98=""),"",H98-J98)</x:f>
      </x:c>
      <x:c r="L98" s="14" t="str">
        <x:f>IF(OR(H98="",J98="",J98=0),"",(H98-J98)/J98)</x:f>
      </x:c>
      <x:c r="M98" s="12"/>
      <x:c r="N98" s="12"/>
      <x:c r="O98" s="12"/>
      <x:c r="P98" s="12"/>
    </x:row>
    <x:row r="99" ht="28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 t="str">
        <x:f>IF(OR(H99="",J99=""),"",H99-J99)</x:f>
      </x:c>
      <x:c r="L99" s="14" t="str">
        <x:f>IF(OR(H99="",J99="",J99=0),"",(H99-J99)/J99)</x:f>
      </x:c>
      <x:c r="M99" s="12"/>
      <x:c r="N99" s="12"/>
      <x:c r="O99" s="12"/>
      <x:c r="P99" s="12"/>
    </x:row>
    <x:row r="100" ht="28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 t="str">
        <x:f>IF(OR(H100="",J100=""),"",H100-J100)</x:f>
      </x:c>
      <x:c r="L100" s="14" t="str">
        <x:f>IF(OR(H100="",J100="",J100=0),"",(H100-J100)/J100)</x:f>
      </x:c>
      <x:c r="M100" s="12"/>
      <x:c r="N100" s="12"/>
      <x:c r="O100" s="12"/>
      <x:c r="P100" s="12"/>
    </x:row>
    <x:row r="101" ht="28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 t="str">
        <x:f>IF(OR(H101="",J101=""),"",H101-J101)</x:f>
      </x:c>
      <x:c r="L101" s="14" t="str">
        <x:f>IF(OR(H101="",J101="",J101=0),"",(H101-J101)/J101)</x:f>
      </x:c>
      <x:c r="M101" s="12"/>
      <x:c r="N101" s="12"/>
      <x:c r="O101" s="12"/>
      <x:c r="P101" s="12"/>
    </x:row>
  </x:sheetData>
  <x:dataValidations count="2">
    <x:dataValidation type="list" sqref="M2:M101">
      <x:formula1>"Lower Better,Higher Better"</x:formula1>
    </x:dataValidation>
    <x:dataValidation type="list" sqref="N2:N101">
      <x:formula1>"PASS,WATCH,FAIL,INVALID"</x:formula1>
    </x:dataValidation>
  </x:dataValidations>
  <x:pageMargins left="0.7" right="0.7" top="0.75" bottom="0.75" header="0.3" footer="0.3"/>
</x:worksheet>
</file>